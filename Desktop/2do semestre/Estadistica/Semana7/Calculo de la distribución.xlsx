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abiGrefa/Documents/UEA/PAO 2626/SEMANA 7/"/>
    </mc:Choice>
  </mc:AlternateContent>
  <xr:revisionPtr revIDLastSave="0" documentId="13_ncr:1_{7221FC50-AF2F-204C-B04D-9D22516D6DEB}" xr6:coauthVersionLast="47" xr6:coauthVersionMax="47" xr10:uidLastSave="{00000000-0000-0000-0000-000000000000}"/>
  <bookViews>
    <workbookView xWindow="0" yWindow="780" windowWidth="34200" windowHeight="19780" xr2:uid="{FF79A85E-D9C9-2248-BC98-C2E0A0CFC408}"/>
  </bookViews>
  <sheets>
    <sheet name="BINOMIAL" sheetId="1" r:id="rId1"/>
    <sheet name="POISS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5" i="1" l="1"/>
  <c r="E31" i="2"/>
  <c r="E27" i="2"/>
  <c r="E16" i="2"/>
  <c r="E40" i="1"/>
  <c r="E39" i="1"/>
  <c r="E34" i="1"/>
  <c r="E29" i="1"/>
  <c r="E24" i="1"/>
  <c r="E19" i="1"/>
</calcChain>
</file>

<file path=xl/sharedStrings.xml><?xml version="1.0" encoding="utf-8"?>
<sst xmlns="http://schemas.openxmlformats.org/spreadsheetml/2006/main" count="44" uniqueCount="17">
  <si>
    <t>D. PUNTUAL</t>
  </si>
  <si>
    <t xml:space="preserve">D. POISSON </t>
  </si>
  <si>
    <t>X</t>
  </si>
  <si>
    <t>λ</t>
  </si>
  <si>
    <t>ACUMULADA</t>
  </si>
  <si>
    <t>DISTRIBUCIÓN BINOMIAL</t>
  </si>
  <si>
    <t>n</t>
  </si>
  <si>
    <t>x</t>
  </si>
  <si>
    <t>p</t>
  </si>
  <si>
    <t>Acumulada</t>
  </si>
  <si>
    <t>p(x&gt;=4)</t>
  </si>
  <si>
    <t>p(x=3)</t>
  </si>
  <si>
    <t>p(x=2)</t>
  </si>
  <si>
    <t>p(x&lt;=3)</t>
  </si>
  <si>
    <t>p(x=5)</t>
  </si>
  <si>
    <t>p(x=9)</t>
  </si>
  <si>
    <t>p(x&lt;=4)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</si>
</sst>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5" x14ac:knownFonts="1">
    <font>
      <sz val="12"/>
      <color theme="1"/>
      <name val="Aptos Narrow"/>
      <family val="2"/>
      <scheme val="minor"/>
    </font>
    <font>
      <b/>
      <sz val="16"/>
      <color theme="1"/>
      <name val="Aptos Narrow"/>
      <scheme val="minor"/>
    </font>
    <font>
      <sz val="18"/>
      <color theme="1"/>
      <name val="Aptos Narrow"/>
      <family val="2"/>
      <scheme val="minor"/>
    </font>
    <font>
      <sz val="18"/>
      <color rgb="FFFF0000"/>
      <name val="Aptos Narrow"/>
      <family val="2"/>
      <scheme val="minor"/>
    </font>
    <font>
      <sz val="16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2" fillId="0" borderId="2" xfId="0" applyFont="1" applyBorder="1"/>
    <xf numFmtId="0" fontId="3" fillId="0" borderId="2" xfId="0" applyFont="1" applyBorder="1"/>
    <xf numFmtId="0" fontId="2" fillId="0" borderId="2" xfId="0" applyFont="1" applyBorder="1" applyAlignment="1">
      <alignment horizontal="center" vertical="center"/>
    </xf>
    <xf numFmtId="0" fontId="4" fillId="0" borderId="2" xfId="0" applyFont="1" applyBorder="1"/>
    <xf numFmtId="0" fontId="1" fillId="0" borderId="2" xfId="0" applyFont="1" applyBorder="1"/>
    <xf numFmtId="0" fontId="4" fillId="0" borderId="5" xfId="0" applyFont="1" applyBorder="1"/>
    <xf numFmtId="0" fontId="4" fillId="0" borderId="3" xfId="0" applyFont="1" applyBorder="1"/>
    <xf numFmtId="0" fontId="1" fillId="2" borderId="6" xfId="0" applyFont="1" applyFill="1" applyBorder="1"/>
    <xf numFmtId="164" fontId="1" fillId="2" borderId="7" xfId="0" applyNumberFormat="1" applyFont="1" applyFill="1" applyBorder="1"/>
    <xf numFmtId="2" fontId="4" fillId="0" borderId="2" xfId="0" applyNumberFormat="1" applyFont="1" applyBorder="1"/>
    <xf numFmtId="164" fontId="4" fillId="0" borderId="8" xfId="0" applyNumberFormat="1" applyFont="1" applyBorder="1"/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164" fontId="4" fillId="3" borderId="8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10</xdr:col>
      <xdr:colOff>680830</xdr:colOff>
      <xdr:row>14</xdr:row>
      <xdr:rowOff>91845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E933F88-8533-FC4D-B527-9F909F7CDD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03200"/>
          <a:ext cx="9621630" cy="29366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212956</xdr:colOff>
      <xdr:row>13</xdr:row>
      <xdr:rowOff>257313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CF0C11E-D9CB-0743-9AAC-5354CC47E0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651856" cy="28989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03600-0E89-3B45-916E-3CF6412A9DEF}">
  <dimension ref="A3:E47"/>
  <sheetViews>
    <sheetView tabSelected="1" topLeftCell="A25" zoomScale="130" zoomScaleNormal="130" workbookViewId="0">
      <selection activeCell="E45" sqref="E45"/>
    </sheetView>
  </sheetViews>
  <sheetFormatPr baseColWidth="10" defaultRowHeight="16" x14ac:dyDescent="0.2"/>
  <cols>
    <col min="1" max="1" width="19.83203125" customWidth="1"/>
  </cols>
  <sheetData>
    <row r="3" spans="1:5" ht="24" x14ac:dyDescent="0.3">
      <c r="A3" s="2"/>
      <c r="B3" s="4"/>
    </row>
    <row r="4" spans="1:5" ht="24" x14ac:dyDescent="0.3">
      <c r="A4" s="2"/>
      <c r="B4" s="4"/>
    </row>
    <row r="16" spans="1:5" ht="22" x14ac:dyDescent="0.3">
      <c r="A16" s="13" t="s">
        <v>5</v>
      </c>
      <c r="B16" s="14"/>
      <c r="C16" s="14"/>
      <c r="D16" s="14"/>
      <c r="E16" s="15"/>
    </row>
    <row r="17" spans="1:5" ht="22" x14ac:dyDescent="0.3">
      <c r="A17" s="5"/>
      <c r="B17" s="5"/>
      <c r="C17" s="5"/>
      <c r="D17" s="5"/>
      <c r="E17" s="5"/>
    </row>
    <row r="18" spans="1:5" ht="23" thickBot="1" x14ac:dyDescent="0.35">
      <c r="A18" s="6" t="s">
        <v>6</v>
      </c>
      <c r="B18" s="5">
        <v>5</v>
      </c>
      <c r="C18" s="5"/>
      <c r="D18" s="7"/>
      <c r="E18" s="7"/>
    </row>
    <row r="19" spans="1:5" ht="23" thickBot="1" x14ac:dyDescent="0.35">
      <c r="A19" s="6" t="s">
        <v>7</v>
      </c>
      <c r="B19" s="5">
        <v>3</v>
      </c>
      <c r="C19" s="8"/>
      <c r="D19" s="9" t="s">
        <v>11</v>
      </c>
      <c r="E19" s="10">
        <f>BINOMDIST(B19,B18,B20,B21)</f>
        <v>0.23039999999999999</v>
      </c>
    </row>
    <row r="20" spans="1:5" ht="23" thickBot="1" x14ac:dyDescent="0.35">
      <c r="A20" s="6" t="s">
        <v>8</v>
      </c>
      <c r="B20" s="11">
        <v>0.4</v>
      </c>
      <c r="C20" s="5"/>
      <c r="D20" s="9"/>
      <c r="E20" s="12"/>
    </row>
    <row r="21" spans="1:5" ht="22" x14ac:dyDescent="0.3">
      <c r="A21" s="5" t="s">
        <v>9</v>
      </c>
      <c r="B21" s="5">
        <v>0</v>
      </c>
      <c r="C21" s="5"/>
      <c r="D21" s="5"/>
      <c r="E21" s="5"/>
    </row>
    <row r="23" spans="1:5" ht="23" thickBot="1" x14ac:dyDescent="0.35">
      <c r="A23" s="6" t="s">
        <v>6</v>
      </c>
      <c r="B23" s="5">
        <v>6</v>
      </c>
      <c r="C23" s="5"/>
      <c r="D23" s="7"/>
      <c r="E23" s="7"/>
    </row>
    <row r="24" spans="1:5" ht="23" thickBot="1" x14ac:dyDescent="0.35">
      <c r="A24" s="6" t="s">
        <v>7</v>
      </c>
      <c r="B24" s="5">
        <v>2</v>
      </c>
      <c r="C24" s="8"/>
      <c r="D24" s="9" t="s">
        <v>12</v>
      </c>
      <c r="E24" s="10">
        <f>BINOMDIST(2,6,0.5,0)</f>
        <v>0.23437500000000003</v>
      </c>
    </row>
    <row r="25" spans="1:5" ht="23" thickBot="1" x14ac:dyDescent="0.35">
      <c r="A25" s="6" t="s">
        <v>8</v>
      </c>
      <c r="B25" s="11">
        <v>0.5</v>
      </c>
      <c r="C25" s="5"/>
      <c r="D25" s="9"/>
      <c r="E25" s="12"/>
    </row>
    <row r="26" spans="1:5" ht="22" x14ac:dyDescent="0.3">
      <c r="A26" s="5" t="s">
        <v>9</v>
      </c>
      <c r="B26" s="5">
        <v>0</v>
      </c>
      <c r="C26" s="5"/>
      <c r="D26" s="5"/>
      <c r="E26" s="5"/>
    </row>
    <row r="28" spans="1:5" ht="23" thickBot="1" x14ac:dyDescent="0.35">
      <c r="A28" s="6" t="s">
        <v>6</v>
      </c>
      <c r="B28" s="5">
        <v>7</v>
      </c>
      <c r="C28" s="5"/>
      <c r="D28" s="7"/>
      <c r="E28" s="7"/>
    </row>
    <row r="29" spans="1:5" ht="23" thickBot="1" x14ac:dyDescent="0.35">
      <c r="A29" s="6" t="s">
        <v>7</v>
      </c>
      <c r="B29" s="5">
        <v>4</v>
      </c>
      <c r="C29" s="8"/>
      <c r="D29" s="9"/>
      <c r="E29" s="10">
        <f>BINOMDIST(B29,B28,B30,B31)</f>
        <v>2.5515000000000017E-3</v>
      </c>
    </row>
    <row r="30" spans="1:5" ht="23" thickBot="1" x14ac:dyDescent="0.35">
      <c r="A30" s="6" t="s">
        <v>8</v>
      </c>
      <c r="B30" s="11">
        <v>0.1</v>
      </c>
      <c r="C30" s="5"/>
      <c r="D30" s="9"/>
      <c r="E30" s="12"/>
    </row>
    <row r="31" spans="1:5" ht="22" x14ac:dyDescent="0.3">
      <c r="A31" s="5" t="s">
        <v>9</v>
      </c>
      <c r="B31" s="5">
        <v>0</v>
      </c>
      <c r="C31" s="5"/>
      <c r="D31" s="5"/>
      <c r="E31" s="5"/>
    </row>
    <row r="33" spans="1:5" ht="23" thickBot="1" x14ac:dyDescent="0.35">
      <c r="A33" s="6" t="s">
        <v>6</v>
      </c>
      <c r="B33" s="5">
        <v>5</v>
      </c>
      <c r="C33" s="5"/>
      <c r="D33" s="7"/>
      <c r="E33" s="7"/>
    </row>
    <row r="34" spans="1:5" ht="23" thickBot="1" x14ac:dyDescent="0.35">
      <c r="A34" s="6" t="s">
        <v>7</v>
      </c>
      <c r="B34" s="5">
        <v>3</v>
      </c>
      <c r="C34" s="8"/>
      <c r="D34" s="9" t="s">
        <v>13</v>
      </c>
      <c r="E34" s="10">
        <f>BINOMDIST(B34,B33,B35,B36)</f>
        <v>0.91295999999999999</v>
      </c>
    </row>
    <row r="35" spans="1:5" ht="23" thickBot="1" x14ac:dyDescent="0.35">
      <c r="A35" s="6" t="s">
        <v>8</v>
      </c>
      <c r="B35" s="11">
        <v>0.4</v>
      </c>
      <c r="C35" s="5"/>
      <c r="D35" s="9"/>
      <c r="E35" s="12"/>
    </row>
    <row r="36" spans="1:5" ht="22" x14ac:dyDescent="0.3">
      <c r="A36" s="5" t="s">
        <v>9</v>
      </c>
      <c r="B36" s="5">
        <v>1</v>
      </c>
      <c r="C36" s="5"/>
      <c r="D36" s="5"/>
      <c r="E36" s="5"/>
    </row>
    <row r="38" spans="1:5" ht="23" thickBot="1" x14ac:dyDescent="0.35">
      <c r="A38" s="6" t="s">
        <v>6</v>
      </c>
      <c r="B38" s="5">
        <v>6</v>
      </c>
      <c r="C38" s="5"/>
      <c r="D38" s="7"/>
      <c r="E38" s="7"/>
    </row>
    <row r="39" spans="1:5" ht="23" thickBot="1" x14ac:dyDescent="0.35">
      <c r="A39" s="6" t="s">
        <v>7</v>
      </c>
      <c r="B39" s="5">
        <v>4</v>
      </c>
      <c r="C39" s="8"/>
      <c r="D39" s="9" t="s">
        <v>13</v>
      </c>
      <c r="E39" s="10">
        <f>BINOMDIST(3,B38,B40,B41)</f>
        <v>0.4556800000000002</v>
      </c>
    </row>
    <row r="40" spans="1:5" ht="23" thickBot="1" x14ac:dyDescent="0.35">
      <c r="A40" s="6" t="s">
        <v>8</v>
      </c>
      <c r="B40" s="11">
        <v>0.6</v>
      </c>
      <c r="C40" s="5"/>
      <c r="D40" s="9" t="s">
        <v>10</v>
      </c>
      <c r="E40" s="16">
        <f>1-E39</f>
        <v>0.5443199999999998</v>
      </c>
    </row>
    <row r="41" spans="1:5" ht="22" x14ac:dyDescent="0.3">
      <c r="A41" s="5" t="s">
        <v>9</v>
      </c>
      <c r="B41" s="5">
        <v>1</v>
      </c>
      <c r="C41" s="5"/>
      <c r="D41" s="5"/>
      <c r="E41" s="5"/>
    </row>
    <row r="44" spans="1:5" ht="23" thickBot="1" x14ac:dyDescent="0.35">
      <c r="A44" s="6" t="s">
        <v>6</v>
      </c>
      <c r="B44" s="5">
        <v>4</v>
      </c>
      <c r="C44" s="5"/>
      <c r="D44" s="7"/>
      <c r="E44" s="7"/>
    </row>
    <row r="45" spans="1:5" ht="23" thickBot="1" x14ac:dyDescent="0.35">
      <c r="A45" s="6" t="s">
        <v>7</v>
      </c>
      <c r="B45" s="5">
        <v>1</v>
      </c>
      <c r="C45" s="8"/>
      <c r="D45" s="9"/>
      <c r="E45" s="10">
        <f>BINOMDIST(B45,B44,B46,B47)</f>
        <v>0.42187499999999994</v>
      </c>
    </row>
    <row r="46" spans="1:5" ht="23" thickBot="1" x14ac:dyDescent="0.35">
      <c r="A46" s="6" t="s">
        <v>8</v>
      </c>
      <c r="B46" s="11">
        <v>0.25</v>
      </c>
      <c r="C46" s="5"/>
      <c r="D46" s="9"/>
      <c r="E46" s="12"/>
    </row>
    <row r="47" spans="1:5" ht="22" x14ac:dyDescent="0.3">
      <c r="A47" s="5" t="s">
        <v>9</v>
      </c>
      <c r="B47" s="5">
        <v>0</v>
      </c>
      <c r="C47" s="5"/>
      <c r="D47" s="5"/>
      <c r="E47" s="5"/>
    </row>
  </sheetData>
  <mergeCells count="1">
    <mergeCell ref="A16:E1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C7FBA-53EC-1C43-A1E2-935DA01B8833}">
  <dimension ref="A14:L48"/>
  <sheetViews>
    <sheetView topLeftCell="A20" zoomScale="150" workbookViewId="0">
      <selection activeCell="B32" sqref="B32"/>
    </sheetView>
  </sheetViews>
  <sheetFormatPr baseColWidth="10" defaultRowHeight="16" x14ac:dyDescent="0.2"/>
  <cols>
    <col min="1" max="1" width="19.5" customWidth="1"/>
  </cols>
  <sheetData>
    <row r="14" spans="1:12" ht="22" x14ac:dyDescent="0.3">
      <c r="A14" s="14" t="s">
        <v>0</v>
      </c>
      <c r="B14" s="14"/>
      <c r="C14" s="14"/>
      <c r="D14" s="14"/>
      <c r="E14" s="14"/>
      <c r="F14" s="14"/>
    </row>
    <row r="16" spans="1:12" ht="24" x14ac:dyDescent="0.3">
      <c r="A16" s="2" t="s">
        <v>2</v>
      </c>
      <c r="B16" s="4">
        <v>5</v>
      </c>
      <c r="C16" s="1"/>
      <c r="D16" s="2" t="s">
        <v>14</v>
      </c>
      <c r="E16" s="3">
        <f>_xlfn.POISSON.DIST(B16,B17,B18)</f>
        <v>6.6800942890542642E-2</v>
      </c>
      <c r="F16" s="1"/>
      <c r="G16" s="1"/>
      <c r="H16" s="1"/>
      <c r="I16" s="1"/>
      <c r="J16" s="1"/>
      <c r="K16" s="1"/>
      <c r="L16" s="1"/>
    </row>
    <row r="17" spans="1:12" ht="24" x14ac:dyDescent="0.3">
      <c r="A17" s="2" t="s">
        <v>3</v>
      </c>
      <c r="B17" s="4">
        <v>2.5</v>
      </c>
      <c r="C17" s="1"/>
      <c r="D17" s="2"/>
      <c r="E17" s="3"/>
      <c r="F17" s="1"/>
      <c r="G17" s="1"/>
      <c r="H17" s="1"/>
      <c r="I17" s="1"/>
      <c r="J17" s="1"/>
      <c r="K17" s="1"/>
      <c r="L17" s="1"/>
    </row>
    <row r="18" spans="1:12" ht="24" x14ac:dyDescent="0.3">
      <c r="A18" s="2" t="s">
        <v>4</v>
      </c>
      <c r="B18" s="2">
        <v>0</v>
      </c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 ht="24" x14ac:dyDescent="0.3"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 ht="24" x14ac:dyDescent="0.3"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 ht="24" x14ac:dyDescent="0.3"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 ht="24" x14ac:dyDescent="0.3"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 ht="24" x14ac:dyDescent="0.3"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 ht="22" x14ac:dyDescent="0.3">
      <c r="A24" s="14" t="s">
        <v>1</v>
      </c>
      <c r="B24" s="14"/>
      <c r="C24" s="14"/>
      <c r="D24" s="14"/>
      <c r="E24" s="14"/>
      <c r="F24" s="14"/>
    </row>
    <row r="26" spans="1:12" ht="24" x14ac:dyDescent="0.3">
      <c r="A26" s="2" t="s">
        <v>2</v>
      </c>
      <c r="B26" s="2">
        <v>9</v>
      </c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 ht="24" x14ac:dyDescent="0.3">
      <c r="A27" s="2" t="s">
        <v>3</v>
      </c>
      <c r="B27" s="2">
        <v>10.5</v>
      </c>
      <c r="C27" s="1"/>
      <c r="D27" s="2" t="s">
        <v>15</v>
      </c>
      <c r="E27" s="3">
        <f>_xlfn.POISSON.DIST(B26,B27,B28)</f>
        <v>0.1177195514884425</v>
      </c>
      <c r="F27" s="1"/>
      <c r="G27" s="1"/>
      <c r="H27" s="1"/>
      <c r="I27" s="1"/>
      <c r="J27" s="1"/>
      <c r="K27" s="1"/>
      <c r="L27" s="1"/>
    </row>
    <row r="28" spans="1:12" ht="24" x14ac:dyDescent="0.3">
      <c r="A28" s="2" t="s">
        <v>4</v>
      </c>
      <c r="B28" s="2">
        <v>0</v>
      </c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 ht="24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 ht="24" x14ac:dyDescent="0.3">
      <c r="A30" s="2" t="s">
        <v>2</v>
      </c>
      <c r="B30" s="2">
        <v>4</v>
      </c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 ht="24" x14ac:dyDescent="0.3">
      <c r="A31" s="2" t="s">
        <v>3</v>
      </c>
      <c r="B31" s="2">
        <v>3.4</v>
      </c>
      <c r="C31" s="1"/>
      <c r="D31" s="2" t="s">
        <v>16</v>
      </c>
      <c r="E31" s="3">
        <f>_xlfn.POISSON.DIST(B30,B31,B32)</f>
        <v>0.74418164730665515</v>
      </c>
      <c r="F31" s="1"/>
      <c r="G31" s="1"/>
      <c r="H31" s="1"/>
      <c r="I31" s="1"/>
      <c r="J31" s="1"/>
      <c r="K31" s="1"/>
      <c r="L31" s="1"/>
    </row>
    <row r="32" spans="1:12" ht="24" x14ac:dyDescent="0.3">
      <c r="A32" s="2" t="s">
        <v>4</v>
      </c>
      <c r="B32" s="2">
        <v>1</v>
      </c>
      <c r="C32" s="1"/>
      <c r="D32" s="2"/>
      <c r="E32" s="3"/>
      <c r="F32" s="1"/>
      <c r="G32" s="1"/>
      <c r="H32" s="1"/>
      <c r="I32" s="1"/>
      <c r="J32" s="1"/>
      <c r="K32" s="1"/>
      <c r="L32" s="1"/>
    </row>
    <row r="33" spans="1:12" ht="24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 ht="24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 ht="24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 ht="24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 ht="24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 ht="24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 ht="24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 ht="24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 ht="24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 ht="24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 ht="24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ht="24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 ht="24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ht="24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ht="24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ht="24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</sheetData>
  <mergeCells count="2">
    <mergeCell ref="A24:F24"/>
    <mergeCell ref="A14:F14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2BB5CE3346E8B488DDF78874A1E1291" ma:contentTypeVersion="7" ma:contentTypeDescription="Crear nuevo documento." ma:contentTypeScope="" ma:versionID="7938c43df689722451b5fab2859c9b20">
  <xsd:schema xmlns:xsd="http://www.w3.org/2001/XMLSchema" xmlns:xs="http://www.w3.org/2001/XMLSchema" xmlns:p="http://schemas.microsoft.com/office/2006/metadata/properties" xmlns:ns2="33357fe2-a9eb-4def-aca0-fd3a7f137382" targetNamespace="http://schemas.microsoft.com/office/2006/metadata/properties" ma:root="true" ma:fieldsID="2c3a3feefa5322f8952b749748b44807" ns2:_="">
    <xsd:import namespace="33357fe2-a9eb-4def-aca0-fd3a7f1373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357fe2-a9eb-4def-aca0-fd3a7f13738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D7F0CFC-E181-4D6F-9A18-C7AEA620C057}"/>
</file>

<file path=customXml/itemProps2.xml><?xml version="1.0" encoding="utf-8"?>
<ds:datastoreItem xmlns:ds="http://schemas.openxmlformats.org/officeDocument/2006/customXml" ds:itemID="{109772CA-D674-4926-AD41-B3FA82D1DA66}"/>
</file>

<file path=customXml/itemProps3.xml><?xml version="1.0" encoding="utf-8"?>
<ds:datastoreItem xmlns:ds="http://schemas.openxmlformats.org/officeDocument/2006/customXml" ds:itemID="{9650E928-04BA-4622-A693-85098BA89FA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BINOMIAL</vt:lpstr>
      <vt:lpstr>POISSON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Gabriela Grefa Lopez</dc:creator>
  <cp:lastModifiedBy>Gabriela Grefa Lopez</cp:lastModifiedBy>
  <dcterms:created xsi:type="dcterms:W3CDTF">2026-07-08T23:46:55Z</dcterms:created>
  <dcterms:modified xsi:type="dcterms:W3CDTF">2026-07-11T14:48:19Z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0x01010012BB5CE3346E8B488DDF78874A1E1291</vt:lpwstr>
  </property>
</Properties>
</file>